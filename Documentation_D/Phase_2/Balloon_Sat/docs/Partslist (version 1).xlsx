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_ENCE3210 Microprocessors\Doc D\Balloon_Sat\Balloon_Sat\docs\"/>
    </mc:Choice>
  </mc:AlternateContent>
  <xr:revisionPtr revIDLastSave="0" documentId="13_ncr:1_{797F9018-3F32-45B0-8AF0-C21F68A36EB0}" xr6:coauthVersionLast="47" xr6:coauthVersionMax="47" xr10:uidLastSave="{00000000-0000-0000-0000-000000000000}"/>
  <bookViews>
    <workbookView xWindow="6528" yWindow="1140" windowWidth="23040" windowHeight="14232" activeTab="2" xr2:uid="{BF08BC3C-9366-4785-8514-015CD46CD19E}"/>
  </bookViews>
  <sheets>
    <sheet name="Parts List" sheetId="1" r:id="rId1"/>
    <sheet name="Parts List no Link" sheetId="5" r:id="rId2"/>
    <sheet name="SW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5" l="1"/>
  <c r="F28" i="3"/>
  <c r="F29" i="3" s="1"/>
  <c r="F31" i="3" s="1"/>
  <c r="G28" i="3"/>
  <c r="G24" i="1"/>
</calcChain>
</file>

<file path=xl/sharedStrings.xml><?xml version="1.0" encoding="utf-8"?>
<sst xmlns="http://schemas.openxmlformats.org/spreadsheetml/2006/main" count="121" uniqueCount="70">
  <si>
    <t>Part</t>
  </si>
  <si>
    <t>Pressure sensor</t>
  </si>
  <si>
    <t>Name</t>
  </si>
  <si>
    <t>Link</t>
  </si>
  <si>
    <t>https://www.sparkfun.com/sparkfun-openlog-with-headers.html</t>
  </si>
  <si>
    <t>Open Log</t>
  </si>
  <si>
    <t>Sparkfun Open Log</t>
  </si>
  <si>
    <t>Accelerometer</t>
  </si>
  <si>
    <t>SparkFun Qwiic MicroPressure Sensor</t>
  </si>
  <si>
    <t>Avail?</t>
  </si>
  <si>
    <t>Yes</t>
  </si>
  <si>
    <t>Mass (g)</t>
  </si>
  <si>
    <t>Power Cons (mA)</t>
  </si>
  <si>
    <t>9V Battery</t>
  </si>
  <si>
    <t>Rocker Switch</t>
  </si>
  <si>
    <t>Barrel Jack</t>
  </si>
  <si>
    <t>PCB + Solder</t>
  </si>
  <si>
    <t>Headers</t>
  </si>
  <si>
    <t>Temp Sensor</t>
  </si>
  <si>
    <t>https://www.digikey.com/en/products/detail/analog-devices-inc/TMP36GT9Z/820404?gclsrc=aw.ds&amp;gad_source=1&amp;gad_campaignid=20232005509&amp;gbraid=0AAAAADrbLlhLnKfLcpTIekq44P8JcvN_7&amp;gclid=Cj0KCQiA2bTNBhDjARIsAK89wlG_W3AKFjS1tQCQ-BLjD-iRSIoGVO2aSjEHMHBaI6YLlP35E7FVVx0aAhXQEALw_wcB</t>
  </si>
  <si>
    <t>Price w/o shipping (total)</t>
  </si>
  <si>
    <t>Temp Sensor x2</t>
  </si>
  <si>
    <t>Arduino Uno</t>
  </si>
  <si>
    <t>&lt;-----Total Mass</t>
  </si>
  <si>
    <t>Misc Wires</t>
  </si>
  <si>
    <t>Sparkfun Open Log  (3.3V)</t>
  </si>
  <si>
    <t>ATMEGA 328P Uno board (5V)</t>
  </si>
  <si>
    <t>Rocker switch</t>
  </si>
  <si>
    <t>https://www.digikey.com/en/products/detail/nkk-switches/CWSB21AA2F/671496</t>
  </si>
  <si>
    <t>PCB</t>
  </si>
  <si>
    <t>https://docs.oshpark.com/services/afterdark/</t>
  </si>
  <si>
    <t>2.6x2.1 in Osh Park After Dark 2-layer</t>
  </si>
  <si>
    <t>Sum current  (mA) ---------------------&gt;</t>
  </si>
  <si>
    <t>Sum power  (mW)</t>
  </si>
  <si>
    <t>Total power consumption including 56% efficiency from linear regulator from 9V to 5V (mW)</t>
  </si>
  <si>
    <t>https://www.digikey.com/en/products/detail/texas-instruments/HDC1080DMBR/7033447?gclsrc=aw.ds&amp;gad_source=1&amp;gad_campaignid=20232005509&amp;gbraid=0AAAAADrbLliPjNE5nLnsBsd3WryyU-xTv&amp;gclid=CjwKCAjwpcTNBhA5EiwAdO1S9g6f_LwzLe8AsNhZtgbjon793Og71OhI35PuEj6v1l9onq8ooPr3tRoCAYAQAvD_BwE</t>
  </si>
  <si>
    <t>25.4x21</t>
  </si>
  <si>
    <t>Decoupling cap</t>
  </si>
  <si>
    <t>5 color 5mm LED kit</t>
  </si>
  <si>
    <t>https://www.digikey.com/en/products/detail/adafruit-industries-llc/4203/10130502?gclsrc=aw.ds&amp;gad_source=1&amp;gad_campaignid=20243136172&amp;gbraid=0AAAAADrbLlhtwrYv7t8eV3QjF10aPhByK&amp;gclid=CjwKCAjwyMnNBhBNEiwA-KcguyD0yiNiipxkh23YZ_lkJbS_fWYne6tDFlzyd5MPRZdqY1oHUIHuExoC1kAQAvD_BwE</t>
  </si>
  <si>
    <t>https://www.digikey.com/en/products/detail/kemet/C322C104K5R5TA7301/3726183?gclsrc=aw.ds&amp;gad_source=1&amp;gad_campaignid=20228387720&amp;gbraid=0AAAAADrbLliKYJMm45ZBnRE_evq05oCd-&amp;gclid=CjwKCAjwyMnNBhBNEiwA-Kcgu7qDfzjBXGMW9qgWFqkCQnMpI7YzZvGbPifhjVO7ktowY1NI_HXuRxoC-AkQAvD_BwE</t>
  </si>
  <si>
    <t>https://www.digikey.com/en/products/detail/adafruit-industries-llc/4097/9951931?gclsrc=aw.ds&amp;gad_source=1&amp;gad_campaignid=20243136172&amp;gbraid=0AAAAADrbLlhtwrYv7t8eV3QjF10aPhByK&amp;gclid=CjwKCAjwyMnNBhBNEiwA-Kcgu5cAj4PWq61z0TyISxcSntDGPbbyEtma2EbPJyYFSyIejVWd5k_RXBoCCpYQAvD_BwE</t>
  </si>
  <si>
    <t xml:space="preserve">	
ADXL343 - TRIPLE-AXIS ACCELEROMER</t>
  </si>
  <si>
    <t xml:space="preserve">
ADXL343 - TRIPLE-AXIS ACCELEROMER</t>
  </si>
  <si>
    <t>I2C pullup current</t>
  </si>
  <si>
    <t>https://www.digikey.com/en/products/detail/honeywell-sensing-and-productivity-solutions/ABPDANT015PGAA5/5322846?gclsrc=aw.ds&amp;gad_source=1&amp;gad_campaignid=20232005509&amp;gbraid=0AAAAADrbLljTdS415t_9D4tP7vIXM7ysN&amp;gclid=CjwKCAjwyMnNBhBNEiwA-KcguxMYkbWG9ZQEbGRMVqlH2PrAXttEJ9y9UVGBEWgAhV2CS9ZiUvah1RoCCtkQAvD_BwE</t>
  </si>
  <si>
    <t>pressure 2</t>
  </si>
  <si>
    <t>2x 100nF 50V</t>
  </si>
  <si>
    <t>1x 10nF 25V</t>
  </si>
  <si>
    <t>https://www.digikey.com/en/products/detail/kemet/C321C103K3G5TA/6657461?gclsrc=aw.ds&amp;gad_source=1&amp;gad_campaignid=20228387720&amp;gbraid=0AAAAADrbLliKYJMm45ZBnRE_evq05oCd-&amp;gclid=CjwKCAjwyMnNBhBNEiwA-Kcgu4mlENOOKgqRs5NWIScHjpo91K-EzZRALH_ynmbZsgfsZPQTtFC6tRoCg34QAvD_BwE</t>
  </si>
  <si>
    <t>https://www.adafruit.com/product/4391</t>
  </si>
  <si>
    <t>https://www.adafruit.com/product/3894?srsltid=AfmBOormM-qRnzIDMETFXMu0A2v4SMpVJI0AO2iuut7A5tKCTFm_jqgb</t>
  </si>
  <si>
    <t>JST-PH 3 pin male</t>
  </si>
  <si>
    <t>JST-PH 3 pin horizontal female</t>
  </si>
  <si>
    <t>Humidity / Temp</t>
  </si>
  <si>
    <t>Battery Connector</t>
  </si>
  <si>
    <t>https://www.digikey.com/en/products/detail/gearbox-labs/PART-9V-BATTERY-BARREL-CONNECTOR/16159908</t>
  </si>
  <si>
    <t>https://buyheatshrink.com/shop-by-industry/electric-vehicles/2-1-polyolefin-heat-shrink/2-1-polyolefin-spools?diameter=58&amp;feet=309&amp;campaign=15716762799&amp;adgroup=&amp;feeditem=&amp;keyword=&amp;matchtype=&amp;device=c&amp;network=x&amp;gclid=CjwKCAjwyMnNBhBNEiwA-KcguxiLJo6gadLScwvKJrG7qcHEUkPU4SbwIPiRlpcsiTgwx4xWEcMRVBoCm_gQAvD_BwE&amp;creative=&amp;gad_source=1&amp;gad_campaignid=15720910030&amp;gbraid=0AAAAAD-A2YauziZZ1G9NTvJsNxEMJwzil</t>
  </si>
  <si>
    <t>Heat srhink tubing</t>
  </si>
  <si>
    <t>1/16"</t>
  </si>
  <si>
    <t>https://www.digikey.com/en/products/detail/stackpole-electronics-inc/CF14JT1K00/1741314</t>
  </si>
  <si>
    <t>1k Ohm resistors</t>
  </si>
  <si>
    <t>https://www.digikey.com/en/products/detail/cnc-tech/3135-22-1-0500-008-1-TS/3766903</t>
  </si>
  <si>
    <t>Silicone wire 22AWG 25'</t>
  </si>
  <si>
    <t>https://www.walmart.com/ip/PNY-32GB-Elite-Class-10-U1-microSDHC-Flash-Memory-Card-100MB-s-read-Full-HD-UHS-I-micro-SD/348352382?wl13=4567&amp;selectedSellerId=0&amp;wmlspartner=wlpa</t>
  </si>
  <si>
    <t>32GB SD Card</t>
  </si>
  <si>
    <t>6 LEDs + 1k ohm</t>
  </si>
  <si>
    <t>Pressure Sensor (Honeywell)</t>
  </si>
  <si>
    <t>ADPDANT015PGAA5</t>
  </si>
  <si>
    <t>Heat shrink tubing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</si>
</sst>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"/>
    <numFmt numFmtId="165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444444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8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1" applyAlignment="1">
      <alignment horizontal="left" vertical="center" wrapText="1"/>
    </xf>
    <xf numFmtId="0" fontId="3" fillId="0" borderId="0" xfId="1" applyAlignment="1">
      <alignment vertical="center" wrapText="1"/>
    </xf>
    <xf numFmtId="0" fontId="3" fillId="0" borderId="0" xfId="1" applyAlignment="1">
      <alignment wrapText="1"/>
    </xf>
    <xf numFmtId="0" fontId="4" fillId="0" borderId="0" xfId="0" applyFont="1"/>
    <xf numFmtId="0" fontId="0" fillId="0" borderId="0" xfId="0" applyAlignment="1">
      <alignment vertical="top"/>
    </xf>
    <xf numFmtId="8" fontId="0" fillId="0" borderId="0" xfId="0" applyNumberFormat="1" applyAlignment="1">
      <alignment vertical="top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nalog-devices-inc/TMP36GT9Z/820404?gclsrc=aw.ds&amp;gad_source=1&amp;gad_campaignid=20232005509&amp;gbraid=0AAAAADrbLlhLnKfLcpTIekq44P8JcvN_7&amp;gclid=Cj0KCQiA2bTNBhDjARIsAK89wlG_W3AKFjS1tQCQ-BLjD-iRSIoGVO2aSjEHMHBaI6YLlP35E7FVVx0aAhXQEALw_wcB" TargetMode="External"/><Relationship Id="rId2" Type="http://schemas.openxmlformats.org/officeDocument/2006/relationships/hyperlink" Target="https://www.digikey.com/en/products/detail/adafruit-industries-llc/4097/9951931?gclsrc=aw.ds&amp;gad_source=1&amp;gad_campaignid=20243136172&amp;gbraid=0AAAAADrbLlhtwrYv7t8eV3QjF10aPhByK&amp;gclid=CjwKCAjwyMnNBhBNEiwA-Kcgu5cAj4PWq61z0TyISxcSntDGPbbyEtma2EbPJyYFSyIejVWd5k_RXBoCCpYQAvD_BwE" TargetMode="External"/><Relationship Id="rId1" Type="http://schemas.openxmlformats.org/officeDocument/2006/relationships/hyperlink" Target="https://www.sparkfun.com/sparkfun-openlog-with-headers.html" TargetMode="External"/><Relationship Id="rId6" Type="http://schemas.openxmlformats.org/officeDocument/2006/relationships/hyperlink" Target="https://www.digikey.com/en/products/detail/texas-instruments/HDC1080DMBR/7033447?gclsrc=aw.ds&amp;gad_source=1&amp;gad_campaignid=20232005509&amp;gbraid=0AAAAADrbLliPjNE5nLnsBsd3WryyU-xTv&amp;gclid=CjwKCAjwpcTNBhA5EiwAdO1S9g6f_LwzLe8AsNhZtgbjon793Og71OhI35PuEj6v1l9onq8ooPr3tRoCAYAQAvD_BwE" TargetMode="External"/><Relationship Id="rId5" Type="http://schemas.openxmlformats.org/officeDocument/2006/relationships/hyperlink" Target="https://www.digikey.com/en/products/detail/honeywell-sensing-and-productivity-solutions/ABPDANT015PGAA5/5322846?gclsrc=aw.ds&amp;gad_source=1&amp;gad_campaignid=20232005509&amp;gbraid=0AAAAADrbLljTdS415t_9D4tP7vIXM7ysN&amp;gclid=CjwKCAjwyMnNBhBNEiwA-KcguxMYkbWG9ZQEbGRMVqlH2PrAXttEJ9y9UVGBEWgAhV2CS9ZiUvah1RoCCtkQAvD_BwE" TargetMode="External"/><Relationship Id="rId4" Type="http://schemas.openxmlformats.org/officeDocument/2006/relationships/hyperlink" Target="https://www.digikey.com/en/products/detail/adafruit-industries-llc/4203/10130502?gclsrc=aw.ds&amp;gad_source=1&amp;gad_campaignid=20243136172&amp;gbraid=0AAAAADrbLlhtwrYv7t8eV3QjF10aPhByK&amp;gclid=CjwKCAjwyMnNBhBNEiwA-KcguyD0yiNiipxkh23YZ_lkJbS_fWYne6tDFlzyd5MPRZdqY1oHUIHuExoC1kA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A799-4B49-4EA1-961A-B25A79CB0D95}">
  <dimension ref="D6:I24"/>
  <sheetViews>
    <sheetView topLeftCell="B1" workbookViewId="0">
      <selection activeCell="G8" sqref="G8"/>
    </sheetView>
  </sheetViews>
  <sheetFormatPr defaultRowHeight="14.4" x14ac:dyDescent="0.3"/>
  <cols>
    <col min="4" max="4" width="23.44140625" customWidth="1"/>
    <col min="5" max="6" width="20.77734375" customWidth="1"/>
    <col min="7" max="7" width="29.5546875" customWidth="1"/>
    <col min="8" max="10" width="20.77734375" customWidth="1"/>
  </cols>
  <sheetData>
    <row r="6" spans="4:9" x14ac:dyDescent="0.3">
      <c r="D6" s="5" t="s">
        <v>0</v>
      </c>
      <c r="E6" s="5" t="s">
        <v>2</v>
      </c>
      <c r="F6" s="5" t="s">
        <v>3</v>
      </c>
      <c r="G6" s="5" t="s">
        <v>20</v>
      </c>
      <c r="H6" s="5" t="s">
        <v>9</v>
      </c>
    </row>
    <row r="7" spans="4:9" ht="43.2" x14ac:dyDescent="0.3">
      <c r="D7" s="3" t="s">
        <v>5</v>
      </c>
      <c r="E7" s="4" t="s">
        <v>6</v>
      </c>
      <c r="F7" s="6" t="s">
        <v>4</v>
      </c>
      <c r="G7" s="11">
        <v>21.5</v>
      </c>
      <c r="H7" s="10" t="s">
        <v>10</v>
      </c>
      <c r="I7" t="s">
        <v>36</v>
      </c>
    </row>
    <row r="8" spans="4:9" ht="201.6" x14ac:dyDescent="0.3">
      <c r="D8" s="3" t="s">
        <v>7</v>
      </c>
      <c r="E8" s="13" t="s">
        <v>42</v>
      </c>
      <c r="F8" s="7" t="s">
        <v>41</v>
      </c>
      <c r="G8" s="11">
        <v>5.95</v>
      </c>
      <c r="H8" s="10" t="s">
        <v>10</v>
      </c>
    </row>
    <row r="9" spans="4:9" ht="216" x14ac:dyDescent="0.3">
      <c r="D9" s="3" t="s">
        <v>18</v>
      </c>
      <c r="F9" s="8" t="s">
        <v>19</v>
      </c>
      <c r="G9" s="11">
        <v>1.78</v>
      </c>
      <c r="H9" s="10" t="s">
        <v>10</v>
      </c>
    </row>
    <row r="10" spans="4:9" ht="72" x14ac:dyDescent="0.3">
      <c r="D10" s="3" t="s">
        <v>27</v>
      </c>
      <c r="F10" s="2" t="s">
        <v>28</v>
      </c>
      <c r="G10" s="11">
        <v>5.72</v>
      </c>
    </row>
    <row r="11" spans="4:9" ht="28.8" x14ac:dyDescent="0.3">
      <c r="D11" s="3" t="s">
        <v>29</v>
      </c>
      <c r="E11" s="2" t="s">
        <v>31</v>
      </c>
      <c r="F11" t="s">
        <v>30</v>
      </c>
      <c r="G11" s="11">
        <v>30</v>
      </c>
    </row>
    <row r="12" spans="4:9" ht="230.4" x14ac:dyDescent="0.3">
      <c r="D12" s="3" t="s">
        <v>54</v>
      </c>
      <c r="F12" s="8" t="s">
        <v>35</v>
      </c>
      <c r="G12" s="1">
        <v>2.19</v>
      </c>
    </row>
    <row r="13" spans="4:9" x14ac:dyDescent="0.3">
      <c r="D13" s="3" t="s">
        <v>37</v>
      </c>
      <c r="E13" t="s">
        <v>48</v>
      </c>
      <c r="F13" s="2" t="s">
        <v>49</v>
      </c>
      <c r="G13" s="1">
        <v>0.54</v>
      </c>
    </row>
    <row r="14" spans="4:9" ht="216" x14ac:dyDescent="0.3">
      <c r="D14" s="3" t="s">
        <v>37</v>
      </c>
      <c r="E14" t="s">
        <v>47</v>
      </c>
      <c r="F14" s="2" t="s">
        <v>40</v>
      </c>
      <c r="G14" s="11">
        <v>1.74</v>
      </c>
    </row>
    <row r="15" spans="4:9" ht="201.6" x14ac:dyDescent="0.3">
      <c r="D15" s="3" t="s">
        <v>38</v>
      </c>
      <c r="F15" s="8" t="s">
        <v>39</v>
      </c>
      <c r="G15" s="11">
        <v>4.95</v>
      </c>
    </row>
    <row r="16" spans="4:9" ht="230.4" x14ac:dyDescent="0.3">
      <c r="D16" s="3" t="s">
        <v>46</v>
      </c>
      <c r="F16" s="8" t="s">
        <v>45</v>
      </c>
      <c r="G16" s="11">
        <v>28.1</v>
      </c>
    </row>
    <row r="17" spans="4:7" ht="28.8" x14ac:dyDescent="0.3">
      <c r="D17" s="3" t="s">
        <v>53</v>
      </c>
      <c r="F17" s="2" t="s">
        <v>50</v>
      </c>
      <c r="G17" s="11">
        <v>3.5</v>
      </c>
    </row>
    <row r="18" spans="4:7" ht="86.4" x14ac:dyDescent="0.3">
      <c r="D18" s="3" t="s">
        <v>52</v>
      </c>
      <c r="F18" s="2" t="s">
        <v>51</v>
      </c>
      <c r="G18" s="11">
        <v>1.25</v>
      </c>
    </row>
    <row r="19" spans="4:7" ht="72" x14ac:dyDescent="0.3">
      <c r="D19" s="3" t="s">
        <v>55</v>
      </c>
      <c r="F19" s="2" t="s">
        <v>56</v>
      </c>
      <c r="G19" s="11">
        <v>2</v>
      </c>
    </row>
    <row r="20" spans="4:7" ht="316.8" x14ac:dyDescent="0.3">
      <c r="D20" s="3" t="s">
        <v>58</v>
      </c>
      <c r="E20" t="s">
        <v>59</v>
      </c>
      <c r="F20" s="2" t="s">
        <v>57</v>
      </c>
      <c r="G20" s="11">
        <v>4</v>
      </c>
    </row>
    <row r="21" spans="4:7" ht="144" x14ac:dyDescent="0.3">
      <c r="D21" s="3" t="s">
        <v>65</v>
      </c>
      <c r="F21" s="2" t="s">
        <v>64</v>
      </c>
      <c r="G21" s="11">
        <v>9.42</v>
      </c>
    </row>
    <row r="22" spans="4:7" ht="57.6" x14ac:dyDescent="0.3">
      <c r="D22" s="3" t="s">
        <v>63</v>
      </c>
      <c r="F22" s="2" t="s">
        <v>62</v>
      </c>
      <c r="G22" s="11">
        <v>8.27</v>
      </c>
    </row>
    <row r="23" spans="4:7" ht="72" x14ac:dyDescent="0.3">
      <c r="D23" s="3" t="s">
        <v>61</v>
      </c>
      <c r="F23" s="2" t="s">
        <v>60</v>
      </c>
      <c r="G23" s="11">
        <v>0.6</v>
      </c>
    </row>
    <row r="24" spans="4:7" x14ac:dyDescent="0.3">
      <c r="G24" s="1">
        <f>SUM(G7:G23)</f>
        <v>131.51</v>
      </c>
    </row>
  </sheetData>
  <hyperlinks>
    <hyperlink ref="F7" r:id="rId1" xr:uid="{8772764B-639C-4644-9E52-638F6F985CE6}"/>
    <hyperlink ref="F8" r:id="rId2" display="https://www.digikey.com/en/products/detail/adafruit-industries-llc/4097/9951931?gclsrc=aw.ds&amp;gad_source=1&amp;gad_campaignid=20243136172&amp;gbraid=0AAAAADrbLlhtwrYv7t8eV3QjF10aPhByK&amp;gclid=CjwKCAjwyMnNBhBNEiwA-Kcgu5cAj4PWq61z0TyISxcSntDGPbbyEtma2EbPJyYFSyIejVWd5k_RXBoCCpYQAvD_BwE" xr:uid="{A892B303-2682-4AD0-878B-8DF6448703D2}"/>
    <hyperlink ref="F9" r:id="rId3" display="https://www.digikey.com/en/products/detail/analog-devices-inc/TMP36GT9Z/820404?gclsrc=aw.ds&amp;gad_source=1&amp;gad_campaignid=20232005509&amp;gbraid=0AAAAADrbLlhLnKfLcpTIekq44P8JcvN_7&amp;gclid=Cj0KCQiA2bTNBhDjARIsAK89wlG_W3AKFjS1tQCQ-BLjD-iRSIoGVO2aSjEHMHBaI6YLlP35E7FVVx0aAhXQEALw_wcB" xr:uid="{9F8628CB-0562-4D88-9634-7FB43E7C485B}"/>
    <hyperlink ref="F15" r:id="rId4" display="https://www.digikey.com/en/products/detail/adafruit-industries-llc/4203/10130502?gclsrc=aw.ds&amp;gad_source=1&amp;gad_campaignid=20243136172&amp;gbraid=0AAAAADrbLlhtwrYv7t8eV3QjF10aPhByK&amp;gclid=CjwKCAjwyMnNBhBNEiwA-KcguyD0yiNiipxkh23YZ_lkJbS_fWYne6tDFlzyd5MPRZdqY1oHUIHuExoC1kAQAvD_BwE" xr:uid="{07912C21-C0D5-49E0-985B-5222FFBB8D29}"/>
    <hyperlink ref="F16" r:id="rId5" display="https://www.digikey.com/en/products/detail/honeywell-sensing-and-productivity-solutions/ABPDANT015PGAA5/5322846?gclsrc=aw.ds&amp;gad_source=1&amp;gad_campaignid=20232005509&amp;gbraid=0AAAAADrbLljTdS415t_9D4tP7vIXM7ysN&amp;gclid=CjwKCAjwyMnNBhBNEiwA-KcguxMYkbWG9ZQEbGRMVqlH2PrAXttEJ9y9UVGBEWgAhV2CS9ZiUvah1RoCCtkQAvD_BwE" xr:uid="{B6986307-8C3A-4C87-BDD2-CA20B9EF7470}"/>
    <hyperlink ref="F12" r:id="rId6" display="https://www.digikey.com/en/products/detail/texas-instruments/HDC1080DMBR/7033447?gclsrc=aw.ds&amp;gad_source=1&amp;gad_campaignid=20232005509&amp;gbraid=0AAAAADrbLliPjNE5nLnsBsd3WryyU-xTv&amp;gclid=CjwKCAjwpcTNBhA5EiwAdO1S9g6f_LwzLe8AsNhZtgbjon793Og71OhI35PuEj6v1l9onq8ooPr3tRoCAYAQAvD_BwE" xr:uid="{9AC576E2-D415-4BD3-BF4E-5519BF85F8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7340-1020-4403-B6A7-6137A59CE81B}">
  <dimension ref="D6:I24"/>
  <sheetViews>
    <sheetView topLeftCell="B4" workbookViewId="0">
      <selection activeCell="E21" sqref="E21"/>
    </sheetView>
  </sheetViews>
  <sheetFormatPr defaultRowHeight="14.4" x14ac:dyDescent="0.3"/>
  <cols>
    <col min="4" max="4" width="25.21875" customWidth="1"/>
    <col min="5" max="6" width="20.77734375" customWidth="1"/>
    <col min="7" max="7" width="29.5546875" customWidth="1"/>
    <col min="8" max="10" width="20.77734375" customWidth="1"/>
  </cols>
  <sheetData>
    <row r="6" spans="4:9" x14ac:dyDescent="0.3">
      <c r="D6" s="5" t="s">
        <v>0</v>
      </c>
      <c r="E6" s="5" t="s">
        <v>2</v>
      </c>
      <c r="F6" s="5" t="s">
        <v>3</v>
      </c>
      <c r="G6" s="5" t="s">
        <v>20</v>
      </c>
      <c r="H6" s="5" t="s">
        <v>9</v>
      </c>
    </row>
    <row r="7" spans="4:9" x14ac:dyDescent="0.3">
      <c r="D7" s="3" t="s">
        <v>5</v>
      </c>
      <c r="E7" s="4" t="s">
        <v>6</v>
      </c>
      <c r="F7" s="6"/>
      <c r="G7" s="11">
        <v>21.5</v>
      </c>
      <c r="H7" s="10" t="s">
        <v>10</v>
      </c>
      <c r="I7" t="s">
        <v>36</v>
      </c>
    </row>
    <row r="8" spans="4:9" ht="28.8" x14ac:dyDescent="0.3">
      <c r="D8" s="3" t="s">
        <v>7</v>
      </c>
      <c r="E8" s="13" t="s">
        <v>42</v>
      </c>
      <c r="F8" s="7"/>
      <c r="G8" s="11">
        <v>5.95</v>
      </c>
      <c r="H8" s="10" t="s">
        <v>10</v>
      </c>
    </row>
    <row r="9" spans="4:9" x14ac:dyDescent="0.3">
      <c r="D9" s="3" t="s">
        <v>18</v>
      </c>
      <c r="F9" s="8"/>
      <c r="G9" s="11">
        <v>1.78</v>
      </c>
      <c r="H9" s="10" t="s">
        <v>10</v>
      </c>
    </row>
    <row r="10" spans="4:9" x14ac:dyDescent="0.3">
      <c r="D10" s="3" t="s">
        <v>27</v>
      </c>
      <c r="F10" s="2"/>
      <c r="G10" s="11">
        <v>5.72</v>
      </c>
      <c r="H10" s="10" t="s">
        <v>10</v>
      </c>
    </row>
    <row r="11" spans="4:9" ht="28.8" x14ac:dyDescent="0.3">
      <c r="D11" s="3" t="s">
        <v>29</v>
      </c>
      <c r="E11" s="2" t="s">
        <v>31</v>
      </c>
      <c r="G11" s="11">
        <v>30</v>
      </c>
      <c r="H11" s="10" t="s">
        <v>10</v>
      </c>
    </row>
    <row r="12" spans="4:9" x14ac:dyDescent="0.3">
      <c r="D12" s="3" t="s">
        <v>54</v>
      </c>
      <c r="F12" s="8"/>
      <c r="G12" s="1">
        <v>2.19</v>
      </c>
      <c r="H12" s="10" t="s">
        <v>10</v>
      </c>
    </row>
    <row r="13" spans="4:9" x14ac:dyDescent="0.3">
      <c r="D13" s="3" t="s">
        <v>37</v>
      </c>
      <c r="E13" t="s">
        <v>48</v>
      </c>
      <c r="F13" s="2"/>
      <c r="G13" s="1">
        <v>0.54</v>
      </c>
      <c r="H13" s="10" t="s">
        <v>10</v>
      </c>
    </row>
    <row r="14" spans="4:9" x14ac:dyDescent="0.3">
      <c r="D14" s="3" t="s">
        <v>37</v>
      </c>
      <c r="E14" t="s">
        <v>47</v>
      </c>
      <c r="F14" s="2"/>
      <c r="G14" s="11">
        <v>1.74</v>
      </c>
      <c r="H14" s="10" t="s">
        <v>10</v>
      </c>
    </row>
    <row r="15" spans="4:9" x14ac:dyDescent="0.3">
      <c r="D15" s="3" t="s">
        <v>38</v>
      </c>
      <c r="F15" s="8"/>
      <c r="G15" s="11">
        <v>4.95</v>
      </c>
      <c r="H15" s="10" t="s">
        <v>10</v>
      </c>
    </row>
    <row r="16" spans="4:9" x14ac:dyDescent="0.3">
      <c r="D16" s="3" t="s">
        <v>67</v>
      </c>
      <c r="E16" t="s">
        <v>68</v>
      </c>
      <c r="F16" s="8"/>
      <c r="G16" s="11">
        <v>28.1</v>
      </c>
      <c r="H16" s="10" t="s">
        <v>10</v>
      </c>
    </row>
    <row r="17" spans="4:8" x14ac:dyDescent="0.3">
      <c r="D17" s="3" t="s">
        <v>53</v>
      </c>
      <c r="F17" s="2"/>
      <c r="G17" s="11">
        <v>3.5</v>
      </c>
      <c r="H17" s="10" t="s">
        <v>10</v>
      </c>
    </row>
    <row r="18" spans="4:8" x14ac:dyDescent="0.3">
      <c r="D18" s="3" t="s">
        <v>52</v>
      </c>
      <c r="F18" s="2"/>
      <c r="G18" s="11">
        <v>1.25</v>
      </c>
      <c r="H18" s="10" t="s">
        <v>10</v>
      </c>
    </row>
    <row r="19" spans="4:8" x14ac:dyDescent="0.3">
      <c r="D19" s="3" t="s">
        <v>55</v>
      </c>
      <c r="F19" s="2"/>
      <c r="G19" s="11">
        <v>2</v>
      </c>
      <c r="H19" s="10" t="s">
        <v>10</v>
      </c>
    </row>
    <row r="20" spans="4:8" x14ac:dyDescent="0.3">
      <c r="D20" s="3" t="s">
        <v>69</v>
      </c>
      <c r="E20" t="s">
        <v>59</v>
      </c>
      <c r="F20" s="2"/>
      <c r="G20" s="11">
        <v>4</v>
      </c>
      <c r="H20" s="10" t="s">
        <v>10</v>
      </c>
    </row>
    <row r="21" spans="4:8" x14ac:dyDescent="0.3">
      <c r="D21" s="3" t="s">
        <v>65</v>
      </c>
      <c r="F21" s="2"/>
      <c r="G21" s="11">
        <v>9.42</v>
      </c>
      <c r="H21" s="10" t="s">
        <v>10</v>
      </c>
    </row>
    <row r="22" spans="4:8" x14ac:dyDescent="0.3">
      <c r="D22" s="3" t="s">
        <v>63</v>
      </c>
      <c r="F22" s="2"/>
      <c r="G22" s="11">
        <v>8.27</v>
      </c>
      <c r="H22" s="10" t="s">
        <v>10</v>
      </c>
    </row>
    <row r="23" spans="4:8" x14ac:dyDescent="0.3">
      <c r="D23" s="3" t="s">
        <v>61</v>
      </c>
      <c r="F23" s="2"/>
      <c r="G23" s="11">
        <v>0.6</v>
      </c>
      <c r="H23" s="10" t="s">
        <v>10</v>
      </c>
    </row>
    <row r="24" spans="4:8" x14ac:dyDescent="0.3">
      <c r="G24" s="1">
        <f>SUM(G7:G23)</f>
        <v>131.51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56FA-C291-4BF8-A874-EA0B73770F64}">
  <dimension ref="D6:H31"/>
  <sheetViews>
    <sheetView tabSelected="1" topLeftCell="B4" workbookViewId="0">
      <selection activeCell="D23" sqref="D23"/>
    </sheetView>
  </sheetViews>
  <sheetFormatPr defaultRowHeight="14.4" x14ac:dyDescent="0.3"/>
  <cols>
    <col min="4" max="4" width="17.77734375" customWidth="1"/>
    <col min="5" max="5" width="35.44140625" customWidth="1"/>
    <col min="6" max="10" width="20.77734375" customWidth="1"/>
  </cols>
  <sheetData>
    <row r="6" spans="4:8" x14ac:dyDescent="0.3">
      <c r="D6" s="5" t="s">
        <v>0</v>
      </c>
      <c r="E6" s="5" t="s">
        <v>2</v>
      </c>
      <c r="F6" s="5" t="s">
        <v>12</v>
      </c>
      <c r="G6" s="5" t="s">
        <v>11</v>
      </c>
      <c r="H6" s="5"/>
    </row>
    <row r="7" spans="4:8" x14ac:dyDescent="0.3">
      <c r="D7" s="3" t="s">
        <v>22</v>
      </c>
      <c r="E7" t="s">
        <v>26</v>
      </c>
      <c r="F7">
        <v>40</v>
      </c>
      <c r="G7">
        <v>26</v>
      </c>
    </row>
    <row r="8" spans="4:8" x14ac:dyDescent="0.3">
      <c r="D8" s="3" t="s">
        <v>5</v>
      </c>
      <c r="E8" t="s">
        <v>25</v>
      </c>
      <c r="F8">
        <v>6</v>
      </c>
      <c r="G8" s="3">
        <v>1</v>
      </c>
    </row>
    <row r="9" spans="4:8" ht="28.8" x14ac:dyDescent="0.3">
      <c r="D9" s="3" t="s">
        <v>7</v>
      </c>
      <c r="E9" s="2" t="s">
        <v>43</v>
      </c>
      <c r="F9">
        <v>1.3999999999999999E-4</v>
      </c>
      <c r="G9" s="3">
        <v>1</v>
      </c>
    </row>
    <row r="10" spans="4:8" x14ac:dyDescent="0.3">
      <c r="D10" s="3" t="s">
        <v>1</v>
      </c>
      <c r="E10" t="s">
        <v>8</v>
      </c>
      <c r="F10">
        <v>3</v>
      </c>
      <c r="G10">
        <v>3</v>
      </c>
    </row>
    <row r="11" spans="4:8" x14ac:dyDescent="0.3">
      <c r="D11" s="3" t="s">
        <v>13</v>
      </c>
      <c r="E11" s="9"/>
      <c r="F11">
        <v>0</v>
      </c>
      <c r="G11">
        <v>45</v>
      </c>
    </row>
    <row r="12" spans="4:8" x14ac:dyDescent="0.3">
      <c r="D12" s="3" t="s">
        <v>66</v>
      </c>
      <c r="E12" s="9"/>
      <c r="F12">
        <v>16.8</v>
      </c>
      <c r="G12">
        <v>6</v>
      </c>
    </row>
    <row r="13" spans="4:8" x14ac:dyDescent="0.3">
      <c r="D13" s="3" t="s">
        <v>14</v>
      </c>
      <c r="E13" s="9"/>
      <c r="F13">
        <v>0</v>
      </c>
      <c r="G13">
        <v>5</v>
      </c>
    </row>
    <row r="14" spans="4:8" x14ac:dyDescent="0.3">
      <c r="D14" s="3" t="s">
        <v>15</v>
      </c>
      <c r="E14" s="9"/>
      <c r="F14">
        <v>0</v>
      </c>
      <c r="G14">
        <v>5</v>
      </c>
    </row>
    <row r="15" spans="4:8" x14ac:dyDescent="0.3">
      <c r="D15" s="3" t="s">
        <v>16</v>
      </c>
      <c r="E15" s="9"/>
      <c r="F15">
        <v>0</v>
      </c>
      <c r="G15">
        <v>16</v>
      </c>
    </row>
    <row r="16" spans="4:8" x14ac:dyDescent="0.3">
      <c r="D16" s="3" t="s">
        <v>17</v>
      </c>
      <c r="E16" s="9"/>
      <c r="F16">
        <v>0</v>
      </c>
      <c r="G16">
        <v>9</v>
      </c>
    </row>
    <row r="17" spans="4:8" x14ac:dyDescent="0.3">
      <c r="D17" s="3" t="s">
        <v>21</v>
      </c>
      <c r="E17" s="9"/>
      <c r="F17">
        <v>0.1</v>
      </c>
      <c r="G17">
        <v>0.5</v>
      </c>
    </row>
    <row r="18" spans="4:8" x14ac:dyDescent="0.3">
      <c r="D18" s="3" t="s">
        <v>24</v>
      </c>
      <c r="F18">
        <v>0</v>
      </c>
      <c r="G18">
        <v>11</v>
      </c>
    </row>
    <row r="19" spans="4:8" x14ac:dyDescent="0.3">
      <c r="D19" s="3" t="s">
        <v>44</v>
      </c>
      <c r="F19">
        <v>3.3</v>
      </c>
    </row>
    <row r="28" spans="4:8" x14ac:dyDescent="0.3">
      <c r="E28" t="s">
        <v>32</v>
      </c>
      <c r="F28">
        <f>SUM(F11:F27)+SUM(F8:F9)</f>
        <v>26.200140000000005</v>
      </c>
      <c r="G28">
        <f>SUM(G7:G27)</f>
        <v>128.5</v>
      </c>
      <c r="H28" t="s">
        <v>23</v>
      </c>
    </row>
    <row r="29" spans="4:8" x14ac:dyDescent="0.3">
      <c r="E29" t="s">
        <v>33</v>
      </c>
      <c r="F29" s="14">
        <f>((F10+F7)*5)+(F28*3.3)</f>
        <v>301.46046200000001</v>
      </c>
    </row>
    <row r="31" spans="4:8" ht="43.2" x14ac:dyDescent="0.3">
      <c r="E31" s="2" t="s">
        <v>34</v>
      </c>
      <c r="F31" s="12">
        <f>F29/0.556</f>
        <v>542.19507553956828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 List</vt:lpstr>
      <vt:lpstr>Parts List no Link</vt:lpstr>
      <vt:lpstr>SWaP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Kurta</dc:creator>
  <cp:lastModifiedBy>Mike Kurta</cp:lastModifiedBy>
  <dcterms:created xsi:type="dcterms:W3CDTF">2026-03-04T23:36:24Z</dcterms:created>
  <dcterms:modified xsi:type="dcterms:W3CDTF">2026-03-13T04:48:53Z</dcterms:modified>
</cp:coreProperties>
</file>